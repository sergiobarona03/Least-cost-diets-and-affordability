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/>
  <mc:AlternateContent xmlns:mc="http://schemas.openxmlformats.org/markup-compatibility/2006">
    <mc:Choice Requires="x15">
      <x15ac:absPath xmlns:x15ac="http://schemas.microsoft.com/office/spreadsheetml/2010/11/ac" url="C:\Users\portatil\Documents\COSTOS DE LA DIETA -  NUTRICIÓN\entrega Natalia\"/>
    </mc:Choice>
  </mc:AlternateContent>
  <xr:revisionPtr revIDLastSave="0" documentId="8_{8B248617-B9A6-4FFA-B529-2BB968A90B7F}" xr6:coauthVersionLast="36" xr6:coauthVersionMax="36" xr10:uidLastSave="{00000000-0000-0000-0000-000000000000}"/>
  <bookViews>
    <workbookView xWindow="0" yWindow="0" windowWidth="20490" windowHeight="7545" activeTab="1" xr2:uid="{128ACA44-3A2A-40A7-A659-1E099E10DBCB}"/>
  </bookViews>
  <sheets>
    <sheet name="IOM 2006" sheetId="3" r:id="rId1"/>
    <sheet name="Nasem 2023" sheetId="2" r:id="rId2"/>
    <sheet name="Comparacion ejemplo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4" l="1"/>
  <c r="A15" i="4"/>
</calcChain>
</file>

<file path=xl/sharedStrings.xml><?xml version="1.0" encoding="utf-8"?>
<sst xmlns="http://schemas.openxmlformats.org/spreadsheetml/2006/main" count="149" uniqueCount="126">
  <si>
    <t>TABLA S-3 Tabla resumen de ecuaciones de EER basadas en la predicción de TEE por edad, sexo y actividad física: adultos</t>
  </si>
  <si>
    <t>Grupo de edad</t>
  </si>
  <si>
    <t>Sexo</t>
  </si>
  <si>
    <t>Categoría PAL</t>
  </si>
  <si>
    <t>Ecuación EER (kcal/d)</t>
  </si>
  <si>
    <t>19+ años</t>
  </si>
  <si>
    <t>Inactivo</t>
  </si>
  <si>
    <t>EER = 753,07 – (10,83 × edad) + (6,50 × altura) + (14,10 × peso)</t>
  </si>
  <si>
    <t>Baja actividad</t>
  </si>
  <si>
    <t>EER = 581,47 – (10,83 × edad) + (8,30 × altura) + (14,94 × peso)</t>
  </si>
  <si>
    <t>Activo</t>
  </si>
  <si>
    <t>EER = 1.004,82 – (10,83 × edad) + (6,52 × altura) + (15,91 × peso)</t>
  </si>
  <si>
    <t>Muy activo</t>
  </si>
  <si>
    <t>EER = –517,88 – (10,83 × edad) + (15,61 × altura) + (19,11 × peso)</t>
  </si>
  <si>
    <t>F</t>
  </si>
  <si>
    <t>EER = 584,90 – (7,01 × edad) + (5,72 × altura) + (11,71 × peso)</t>
  </si>
  <si>
    <t>EER = 575,77 – (7,01 × edad) + (6,60 × altura) + (12,14 × peso)</t>
  </si>
  <si>
    <t>EER = 710,25 – (7,01 × edad) + (6,54 × altura) + (12,34 × peso)</t>
  </si>
  <si>
    <t>EER = 511,83 – (7,01 × edad) + (9,07 × altura) + (12,56 × peso)</t>
  </si>
  <si>
    <t>National Academies of Sciences, Engineering, and Medicine. 2023. Dietary Reference Intakes for Energy. Washington, DC: The National Academies Press. https://doi.org/10.17226/26818.</t>
  </si>
  <si>
    <t>M</t>
  </si>
  <si>
    <t>Grupo</t>
  </si>
  <si>
    <t>Ecuación (kcal/día)</t>
  </si>
  <si>
    <t>Notas / Componentes</t>
  </si>
  <si>
    <t>Lactantes y niños pequeños</t>
  </si>
  <si>
    <t>0–3 meses</t>
  </si>
  <si>
    <t>EER = (89 × peso [kg] – 100) + 175</t>
  </si>
  <si>
    <t>Energía total = gasto energético + depósito energético</t>
  </si>
  <si>
    <t>4–6 meses</t>
  </si>
  <si>
    <t>EER = (89 × peso [kg] – 100) + 56</t>
  </si>
  <si>
    <t>7–12 meses</t>
  </si>
  <si>
    <t>EER = (89 × peso [kg] – 100) + 22</t>
  </si>
  <si>
    <t>13–35 meses</t>
  </si>
  <si>
    <t>EER = (89 × peso [kg] – 100) + 20</t>
  </si>
  <si>
    <t>Niños y adolescentes (3–18 años)</t>
  </si>
  <si>
    <t>Niños 3–8 años</t>
  </si>
  <si>
    <t>EER = 88.5 – (61.9 × edad [años]) + PA × (26.7 × peso [kg] + 903 × talla [m]) + 20</t>
  </si>
  <si>
    <t>PA: Coeficiente de actividad física</t>
  </si>
  <si>
    <t>Niñas 3–8 años</t>
  </si>
  <si>
    <t>EER = 135.3 – (30.8 × edad [años]) + PA × (10.0 × peso [kg] + 934 × talla [m]) + 20</t>
  </si>
  <si>
    <t>Niños 9–18 años</t>
  </si>
  <si>
    <t>EER = 88.5 – (61.9 × edad [años]) + PA × (26.7 × peso [kg] + 903 × talla [m]) + 25</t>
  </si>
  <si>
    <t>Niñas 9–18 años</t>
  </si>
  <si>
    <t>EER = 135.3 – (30.8 × edad [años]) + PA × (10.0 × peso [kg] + 934 × talla [m]) + 25</t>
  </si>
  <si>
    <t>Adultos (≥19 años)</t>
  </si>
  <si>
    <t>Hombres</t>
  </si>
  <si>
    <t>EER = 662 – (9.53 × edad [años]) + PA × (15.91 × peso [kg] + 539.6 × talla [m])</t>
  </si>
  <si>
    <t>Mujeres</t>
  </si>
  <si>
    <t>EER = 354 – (6.91 × edad [años]) + PA × (9.36 × peso [kg] + 726 × talla [m])</t>
  </si>
  <si>
    <t>Embarazo</t>
  </si>
  <si>
    <t>1er trimestre</t>
  </si>
  <si>
    <t>EER = EER no gestante + 0</t>
  </si>
  <si>
    <t>Depósito energético y crecimiento fetal</t>
  </si>
  <si>
    <t>2do trimestre</t>
  </si>
  <si>
    <t>EER = EER no gestante + 340</t>
  </si>
  <si>
    <t>3er trimestre</t>
  </si>
  <si>
    <t>EER = EER no gestante + 452</t>
  </si>
  <si>
    <t>Lactancia</t>
  </si>
  <si>
    <t>0–6 meses posparto</t>
  </si>
  <si>
    <t>EER = EER no gestante + 500 – 170</t>
  </si>
  <si>
    <t>Energía de la madre + producción de leche – pérdida de peso</t>
  </si>
  <si>
    <t>7–12 meses posparto</t>
  </si>
  <si>
    <t>EER = EER no gestante + 400 – 0</t>
  </si>
  <si>
    <t>Sedentario (PAL 1.0–1.39)</t>
  </si>
  <si>
    <t>Baja actividad (PAL 1.4–1.59)</t>
  </si>
  <si>
    <t>Activo (PAL 1.6–1.89)</t>
  </si>
  <si>
    <t>Muy activo (PAL 1.9–2.5)</t>
  </si>
  <si>
    <t>Descripción general</t>
  </si>
  <si>
    <t>Actividades diarias típicas (tareas domésticas, caminar al bus)</t>
  </si>
  <si>
    <t>Actividades diarias típicas + 30–60 min de actividad moderada (caminar a 5–7 km/h)</t>
  </si>
  <si>
    <t>Actividades diarias típicas + ≥60 min de actividad moderada diaria</t>
  </si>
  <si>
    <t>Actividades diarias típicas + 60 min adicionales de actividad vigorosa o 120 min de moderada</t>
  </si>
  <si>
    <t>Niños (3–18 años)</t>
  </si>
  <si>
    <t>Niños</t>
  </si>
  <si>
    <t>1.00</t>
  </si>
  <si>
    <t>1.13</t>
  </si>
  <si>
    <t>1.26</t>
  </si>
  <si>
    <t>1.42</t>
  </si>
  <si>
    <t>Niñas</t>
  </si>
  <si>
    <t>1.16</t>
  </si>
  <si>
    <t>1.31</t>
  </si>
  <si>
    <t>1.56</t>
  </si>
  <si>
    <t>1.11</t>
  </si>
  <si>
    <t>1.25</t>
  </si>
  <si>
    <t>1.48</t>
  </si>
  <si>
    <t>1.12</t>
  </si>
  <si>
    <t>1.27</t>
  </si>
  <si>
    <t>1.45</t>
  </si>
  <si>
    <t>Age Group</t>
  </si>
  <si>
    <t>Sex</t>
  </si>
  <si>
    <t>PAL Category</t>
  </si>
  <si>
    <t>EER Equation (kcal/d)</t>
  </si>
  <si>
    <t>14 to 18.99 years</t>
  </si>
  <si>
    <t>Inactive</t>
  </si>
  <si>
    <t>EER = –447.51 + (3.68 × age) + (13.01 × height) + (13.15 × weight) + 20</t>
  </si>
  <si>
    <t>Low active</t>
  </si>
  <si>
    <t>EER = 19.12 + (3.68 × age) + (8.62 × height) + (20.28 × weight) + 20</t>
  </si>
  <si>
    <t>Active</t>
  </si>
  <si>
    <t>EER = –388.19 + (3.68 × age) + (12.66 × height) + (20.46 × weight) + 20</t>
  </si>
  <si>
    <t>Very active</t>
  </si>
  <si>
    <t>EER = –671.75 + (3.68 × age) + (15.38 × height) + (23.25 × weight) + 20</t>
  </si>
  <si>
    <t>EER = 55.59 – (22.25 × age) + (8.43 × height) + (17.07 × weight) + 20</t>
  </si>
  <si>
    <t>EER = –297.54 – (22.25 × age) + (12.77 × height) + (14.73 × weight) + 20</t>
  </si>
  <si>
    <t>EER = –189.55 – (22.25 × age) + (11.74 × height) + (18.34 × weight) + 20</t>
  </si>
  <si>
    <t>EER = –709.59 – (22.25 × age) + (18.22 × height) + (14.25 × weight) + 20</t>
  </si>
  <si>
    <t>años</t>
  </si>
  <si>
    <t>peso</t>
  </si>
  <si>
    <t>estatura</t>
  </si>
  <si>
    <t>baja</t>
  </si>
  <si>
    <t>IOM</t>
  </si>
  <si>
    <t xml:space="preserve">NASEM </t>
  </si>
  <si>
    <t>ALTURA</t>
  </si>
  <si>
    <t>CM</t>
  </si>
  <si>
    <t>PESO</t>
  </si>
  <si>
    <t>KG</t>
  </si>
  <si>
    <t>NASEM</t>
  </si>
  <si>
    <t>RIEN</t>
  </si>
  <si>
    <t>*SE USO TMB 1,60 EN ACTIVIDAD LIGERA</t>
  </si>
  <si>
    <t>actividad</t>
  </si>
  <si>
    <t>Año/Kg/M</t>
  </si>
  <si>
    <t>Año/Kg/CM</t>
  </si>
  <si>
    <t>Unidades</t>
  </si>
  <si>
    <t>Hombre</t>
  </si>
  <si>
    <t>Se uso con PAL Baja activdad</t>
  </si>
  <si>
    <t>PA low active: 1,11</t>
  </si>
  <si>
    <t>COMPARACION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</si>
</sst>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/>
    <xf numFmtId="0" fontId="0" fillId="0" borderId="0" xfId="0" applyBorder="1"/>
    <xf numFmtId="0" fontId="0" fillId="0" borderId="0" xfId="0" applyBorder="1" applyAlignme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0" fillId="0" borderId="1" xfId="0" applyFont="1" applyBorder="1"/>
    <xf numFmtId="0" fontId="0" fillId="0" borderId="4" xfId="0" applyFill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657226</xdr:colOff>
      <xdr:row>0</xdr:row>
      <xdr:rowOff>180975</xdr:rowOff>
    </xdr:from>
    <xdr:to>
      <xdr:col>9</xdr:col>
      <xdr:colOff>586400</xdr:colOff>
      <xdr:row>19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26C26F-36C3-3828-FEEB-3A7428FB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0676" y="180975"/>
          <a:ext cx="3281974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4671-8D08-4B88-99B4-86B96CADD072}">
  <dimension ref="A1:H21"/>
  <sheetViews>
    <sheetView topLeftCell="A9" workbookViewId="0">
      <selection activeCell="G3" sqref="G3"/>
    </sheetView>
  </sheetViews>
  <sheetFormatPr baseColWidth="10" defaultRowHeight="14.25"/>
  <cols>
    <col min="1" max="1" width="24.375" customWidth="1"/>
    <col min="2" max="2" width="73.875" customWidth="1"/>
    <col min="3" max="3" width="17.75" hidden="1" customWidth="1"/>
    <col min="4" max="4" width="14.125" customWidth="1"/>
  </cols>
  <sheetData>
    <row r="1" spans="1:8" ht="60">
      <c r="A1" s="5" t="s">
        <v>21</v>
      </c>
      <c r="B1" s="5" t="s">
        <v>22</v>
      </c>
      <c r="C1" s="5" t="s">
        <v>23</v>
      </c>
      <c r="D1" s="2" t="s">
        <v>21</v>
      </c>
      <c r="E1" s="2" t="s">
        <v>63</v>
      </c>
      <c r="F1" s="2" t="s">
        <v>64</v>
      </c>
      <c r="G1" s="2" t="s">
        <v>65</v>
      </c>
      <c r="H1" s="2" t="s">
        <v>66</v>
      </c>
    </row>
    <row r="2" spans="1:8" ht="87.75" customHeight="1">
      <c r="A2" s="15" t="s">
        <v>24</v>
      </c>
      <c r="B2" s="16"/>
      <c r="C2" s="6"/>
      <c r="D2" s="4" t="s">
        <v>67</v>
      </c>
      <c r="E2" s="3" t="s">
        <v>68</v>
      </c>
      <c r="F2" s="3" t="s">
        <v>69</v>
      </c>
      <c r="G2" s="3" t="s">
        <v>70</v>
      </c>
      <c r="H2" s="3" t="s">
        <v>71</v>
      </c>
    </row>
    <row r="3" spans="1:8">
      <c r="A3" s="11" t="s">
        <v>25</v>
      </c>
      <c r="B3" s="11" t="s">
        <v>26</v>
      </c>
      <c r="C3" s="6" t="s">
        <v>27</v>
      </c>
    </row>
    <row r="4" spans="1:8">
      <c r="A4" s="11" t="s">
        <v>28</v>
      </c>
      <c r="B4" s="11" t="s">
        <v>29</v>
      </c>
      <c r="C4" s="6"/>
    </row>
    <row r="5" spans="1:8">
      <c r="A5" s="11" t="s">
        <v>30</v>
      </c>
      <c r="B5" s="11" t="s">
        <v>31</v>
      </c>
      <c r="C5" s="6"/>
    </row>
    <row r="6" spans="1:8">
      <c r="A6" s="11" t="s">
        <v>32</v>
      </c>
      <c r="B6" s="11" t="s">
        <v>33</v>
      </c>
      <c r="C6" s="6"/>
    </row>
    <row r="7" spans="1:8" ht="30">
      <c r="A7" s="10" t="s">
        <v>34</v>
      </c>
      <c r="B7" s="11"/>
      <c r="C7" s="6"/>
      <c r="D7" s="4" t="s">
        <v>72</v>
      </c>
      <c r="E7" s="3"/>
      <c r="F7" s="3"/>
      <c r="G7" s="3"/>
      <c r="H7" s="3"/>
    </row>
    <row r="8" spans="1:8">
      <c r="A8" s="11" t="s">
        <v>35</v>
      </c>
      <c r="B8" s="11" t="s">
        <v>36</v>
      </c>
      <c r="C8" s="6" t="s">
        <v>37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</row>
    <row r="9" spans="1:8">
      <c r="A9" s="11" t="s">
        <v>38</v>
      </c>
      <c r="B9" s="11" t="s">
        <v>39</v>
      </c>
      <c r="C9" s="6"/>
      <c r="D9" s="3" t="s">
        <v>78</v>
      </c>
      <c r="E9" s="3" t="s">
        <v>74</v>
      </c>
      <c r="F9" s="3" t="s">
        <v>79</v>
      </c>
      <c r="G9" s="3" t="s">
        <v>80</v>
      </c>
      <c r="H9" s="3" t="s">
        <v>81</v>
      </c>
    </row>
    <row r="10" spans="1:8">
      <c r="A10" s="11" t="s">
        <v>40</v>
      </c>
      <c r="B10" s="11" t="s">
        <v>41</v>
      </c>
      <c r="C10" s="6"/>
    </row>
    <row r="11" spans="1:8">
      <c r="A11" s="11" t="s">
        <v>42</v>
      </c>
      <c r="B11" s="11" t="s">
        <v>43</v>
      </c>
      <c r="C11" s="6"/>
    </row>
    <row r="12" spans="1:8" ht="30">
      <c r="A12" s="10" t="s">
        <v>44</v>
      </c>
      <c r="B12" s="11"/>
      <c r="C12" s="6"/>
      <c r="D12" s="4" t="s">
        <v>44</v>
      </c>
      <c r="E12" s="3"/>
      <c r="F12" s="3"/>
      <c r="G12" s="3"/>
      <c r="H12" s="3"/>
    </row>
    <row r="13" spans="1:8">
      <c r="A13" s="11" t="s">
        <v>45</v>
      </c>
      <c r="B13" s="11" t="s">
        <v>46</v>
      </c>
      <c r="C13" s="6"/>
      <c r="D13" s="3" t="s">
        <v>45</v>
      </c>
      <c r="E13" s="3" t="s">
        <v>74</v>
      </c>
      <c r="F13" s="3" t="s">
        <v>82</v>
      </c>
      <c r="G13" s="3" t="s">
        <v>83</v>
      </c>
      <c r="H13" s="3" t="s">
        <v>84</v>
      </c>
    </row>
    <row r="14" spans="1:8">
      <c r="A14" s="11" t="s">
        <v>47</v>
      </c>
      <c r="B14" s="11" t="s">
        <v>48</v>
      </c>
      <c r="C14" s="6"/>
      <c r="D14" s="3" t="s">
        <v>47</v>
      </c>
      <c r="E14" s="3" t="s">
        <v>74</v>
      </c>
      <c r="F14" s="3" t="s">
        <v>85</v>
      </c>
      <c r="G14" s="3" t="s">
        <v>86</v>
      </c>
      <c r="H14" s="3" t="s">
        <v>87</v>
      </c>
    </row>
    <row r="15" spans="1:8" ht="15">
      <c r="A15" s="10" t="s">
        <v>49</v>
      </c>
      <c r="B15" s="11"/>
      <c r="C15" s="6"/>
    </row>
    <row r="16" spans="1:8">
      <c r="A16" s="11" t="s">
        <v>50</v>
      </c>
      <c r="B16" s="11" t="s">
        <v>51</v>
      </c>
      <c r="C16" s="6" t="s">
        <v>52</v>
      </c>
    </row>
    <row r="17" spans="1:3">
      <c r="A17" s="11" t="s">
        <v>53</v>
      </c>
      <c r="B17" s="11" t="s">
        <v>54</v>
      </c>
      <c r="C17" s="6"/>
    </row>
    <row r="18" spans="1:3">
      <c r="A18" s="11" t="s">
        <v>55</v>
      </c>
      <c r="B18" s="11" t="s">
        <v>56</v>
      </c>
      <c r="C18" s="6"/>
    </row>
    <row r="19" spans="1:3" ht="15">
      <c r="A19" s="10" t="s">
        <v>57</v>
      </c>
      <c r="B19" s="11"/>
      <c r="C19" s="6"/>
    </row>
    <row r="20" spans="1:3">
      <c r="A20" s="11" t="s">
        <v>58</v>
      </c>
      <c r="B20" s="11" t="s">
        <v>59</v>
      </c>
      <c r="C20" s="6" t="s">
        <v>60</v>
      </c>
    </row>
    <row r="21" spans="1:3">
      <c r="A21" s="11" t="s">
        <v>61</v>
      </c>
      <c r="B21" s="11" t="s">
        <v>62</v>
      </c>
      <c r="C21" s="6"/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5125-5718-40C9-8B0B-F02EA61A5D2A}">
  <dimension ref="A2:G24"/>
  <sheetViews>
    <sheetView tabSelected="1" zoomScale="91" workbookViewId="0">
      <selection activeCell="E8" sqref="E8"/>
    </sheetView>
  </sheetViews>
  <sheetFormatPr baseColWidth="10" defaultRowHeight="14.25"/>
  <cols>
    <col min="1" max="1" width="23.75" customWidth="1"/>
    <col min="2" max="2" width="5" bestFit="1" customWidth="1"/>
    <col min="3" max="3" width="16.75" customWidth="1"/>
    <col min="4" max="4" width="58.75" customWidth="1"/>
  </cols>
  <sheetData>
    <row r="2" spans="1:7" ht="28.5" customHeight="1">
      <c r="A2" s="20" t="s">
        <v>0</v>
      </c>
      <c r="B2" s="20"/>
      <c r="C2" s="20"/>
      <c r="D2" s="20"/>
      <c r="E2" t="s">
        <v>111</v>
      </c>
      <c r="F2" t="s">
        <v>112</v>
      </c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4" t="s">
        <v>113</v>
      </c>
      <c r="F3" s="14" t="s">
        <v>114</v>
      </c>
    </row>
    <row r="4" spans="1:7">
      <c r="A4" s="19" t="s">
        <v>5</v>
      </c>
      <c r="B4" s="19" t="s">
        <v>20</v>
      </c>
      <c r="C4" s="1" t="s">
        <v>6</v>
      </c>
      <c r="D4" s="1" t="s">
        <v>7</v>
      </c>
    </row>
    <row r="5" spans="1:7">
      <c r="A5" s="19"/>
      <c r="B5" s="19"/>
      <c r="C5" s="1" t="s">
        <v>8</v>
      </c>
      <c r="D5" s="1" t="s">
        <v>9</v>
      </c>
    </row>
    <row r="6" spans="1:7">
      <c r="A6" s="19"/>
      <c r="B6" s="19"/>
      <c r="C6" s="1" t="s">
        <v>10</v>
      </c>
      <c r="D6" s="1" t="s">
        <v>11</v>
      </c>
    </row>
    <row r="7" spans="1:7">
      <c r="A7" s="19"/>
      <c r="B7" s="19"/>
      <c r="C7" s="1" t="s">
        <v>12</v>
      </c>
      <c r="D7" s="1" t="s">
        <v>13</v>
      </c>
    </row>
    <row r="8" spans="1:7">
      <c r="A8" s="19"/>
      <c r="B8" s="19" t="s">
        <v>14</v>
      </c>
      <c r="C8" s="1" t="s">
        <v>6</v>
      </c>
      <c r="D8" s="1" t="s">
        <v>15</v>
      </c>
    </row>
    <row r="9" spans="1:7">
      <c r="A9" s="19"/>
      <c r="B9" s="19"/>
      <c r="C9" s="1" t="s">
        <v>8</v>
      </c>
      <c r="D9" s="1" t="s">
        <v>16</v>
      </c>
    </row>
    <row r="10" spans="1:7">
      <c r="A10" s="19"/>
      <c r="B10" s="19"/>
      <c r="C10" s="1" t="s">
        <v>10</v>
      </c>
      <c r="D10" s="1" t="s">
        <v>17</v>
      </c>
    </row>
    <row r="11" spans="1:7">
      <c r="A11" s="19"/>
      <c r="B11" s="19"/>
      <c r="C11" s="1" t="s">
        <v>12</v>
      </c>
      <c r="D11" s="1" t="s">
        <v>18</v>
      </c>
    </row>
    <row r="12" spans="1:7" ht="24.75" customHeight="1">
      <c r="A12" s="18" t="s">
        <v>19</v>
      </c>
      <c r="B12" s="18"/>
      <c r="C12" s="18"/>
      <c r="D12" s="18"/>
    </row>
    <row r="14" spans="1:7">
      <c r="E14" s="8"/>
      <c r="F14" s="8"/>
      <c r="G14" s="8"/>
    </row>
    <row r="15" spans="1:7">
      <c r="A15" s="7" t="s">
        <v>88</v>
      </c>
      <c r="B15" s="7" t="s">
        <v>89</v>
      </c>
      <c r="C15" s="7" t="s">
        <v>90</v>
      </c>
      <c r="D15" s="7" t="s">
        <v>91</v>
      </c>
      <c r="E15" s="8"/>
      <c r="F15" s="8"/>
      <c r="G15" s="8"/>
    </row>
    <row r="16" spans="1:7">
      <c r="A16" s="17" t="s">
        <v>92</v>
      </c>
      <c r="B16" s="17" t="s">
        <v>20</v>
      </c>
      <c r="C16" s="7" t="s">
        <v>93</v>
      </c>
      <c r="D16" s="7" t="s">
        <v>94</v>
      </c>
      <c r="E16" s="8"/>
      <c r="F16" s="8"/>
      <c r="G16" s="8"/>
    </row>
    <row r="17" spans="1:7">
      <c r="A17" s="17"/>
      <c r="B17" s="17"/>
      <c r="C17" s="7" t="s">
        <v>95</v>
      </c>
      <c r="D17" s="7" t="s">
        <v>96</v>
      </c>
      <c r="E17" s="9"/>
      <c r="F17" s="8"/>
      <c r="G17" s="8"/>
    </row>
    <row r="18" spans="1:7">
      <c r="A18" s="17"/>
      <c r="B18" s="17"/>
      <c r="C18" s="7" t="s">
        <v>97</v>
      </c>
      <c r="D18" s="7" t="s">
        <v>98</v>
      </c>
      <c r="E18" s="9"/>
      <c r="F18" s="8"/>
      <c r="G18" s="8"/>
    </row>
    <row r="19" spans="1:7">
      <c r="A19" s="17"/>
      <c r="B19" s="17"/>
      <c r="C19" s="7" t="s">
        <v>99</v>
      </c>
      <c r="D19" s="7" t="s">
        <v>100</v>
      </c>
      <c r="E19" s="9"/>
      <c r="F19" s="8"/>
      <c r="G19" s="8"/>
    </row>
    <row r="20" spans="1:7">
      <c r="A20" s="17"/>
      <c r="B20" s="17" t="s">
        <v>14</v>
      </c>
      <c r="C20" s="7" t="s">
        <v>93</v>
      </c>
      <c r="D20" s="7" t="s">
        <v>101</v>
      </c>
      <c r="E20" s="9"/>
      <c r="F20" s="8"/>
      <c r="G20" s="8"/>
    </row>
    <row r="21" spans="1:7">
      <c r="A21" s="17"/>
      <c r="B21" s="17"/>
      <c r="C21" s="7" t="s">
        <v>95</v>
      </c>
      <c r="D21" s="7" t="s">
        <v>102</v>
      </c>
      <c r="E21" s="9"/>
      <c r="F21" s="9"/>
      <c r="G21" s="8"/>
    </row>
    <row r="22" spans="1:7">
      <c r="A22" s="17"/>
      <c r="B22" s="17"/>
      <c r="C22" s="7" t="s">
        <v>97</v>
      </c>
      <c r="D22" s="7" t="s">
        <v>103</v>
      </c>
      <c r="E22" s="9"/>
      <c r="F22" s="9"/>
      <c r="G22" s="8"/>
    </row>
    <row r="23" spans="1:7">
      <c r="A23" s="17"/>
      <c r="B23" s="17"/>
      <c r="C23" s="7" t="s">
        <v>99</v>
      </c>
      <c r="D23" s="7" t="s">
        <v>104</v>
      </c>
      <c r="E23" s="9"/>
      <c r="F23" s="9"/>
      <c r="G23" s="8"/>
    </row>
    <row r="24" spans="1:7" ht="30" customHeight="1">
      <c r="A24" s="18" t="s">
        <v>19</v>
      </c>
      <c r="B24" s="18"/>
      <c r="C24" s="18"/>
      <c r="D24" s="18"/>
    </row>
  </sheetData>
  <mergeCells count="9">
    <mergeCell ref="A2:D2"/>
    <mergeCell ref="B16:B19"/>
    <mergeCell ref="B20:B23"/>
    <mergeCell ref="A16:A23"/>
    <mergeCell ref="A24:D24"/>
    <mergeCell ref="B4:B7"/>
    <mergeCell ref="B8:B11"/>
    <mergeCell ref="A4:A11"/>
    <mergeCell ref="A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3D4E-1D04-4B77-AA09-B0DF47099020}">
  <dimension ref="A1:G15"/>
  <sheetViews>
    <sheetView workbookViewId="0">
      <selection activeCell="C15" sqref="C15"/>
    </sheetView>
  </sheetViews>
  <sheetFormatPr baseColWidth="10" defaultRowHeight="14.25"/>
  <cols>
    <col min="2" max="2" width="12.625" customWidth="1"/>
    <col min="3" max="3" width="12.375" customWidth="1"/>
    <col min="5" max="5" width="15.25" customWidth="1"/>
  </cols>
  <sheetData>
    <row r="1" spans="1:7" ht="15">
      <c r="A1" s="25" t="s">
        <v>122</v>
      </c>
      <c r="B1" s="25"/>
      <c r="C1" s="25"/>
      <c r="D1" s="25"/>
      <c r="E1" s="25"/>
    </row>
    <row r="2" spans="1:7" ht="15">
      <c r="A2" s="1" t="s">
        <v>121</v>
      </c>
      <c r="B2" s="12" t="s">
        <v>105</v>
      </c>
      <c r="C2" s="12" t="s">
        <v>106</v>
      </c>
      <c r="D2" s="12" t="s">
        <v>107</v>
      </c>
      <c r="E2" s="12" t="s">
        <v>118</v>
      </c>
      <c r="G2" s="24"/>
    </row>
    <row r="3" spans="1:7">
      <c r="A3" s="1" t="s">
        <v>119</v>
      </c>
      <c r="B3" s="13">
        <v>30</v>
      </c>
      <c r="C3" s="13">
        <v>80</v>
      </c>
      <c r="D3" s="13">
        <v>1.75</v>
      </c>
      <c r="E3" s="13" t="s">
        <v>108</v>
      </c>
      <c r="G3" s="24"/>
    </row>
    <row r="4" spans="1:7">
      <c r="A4" s="1" t="s">
        <v>120</v>
      </c>
      <c r="B4" s="13">
        <v>30</v>
      </c>
      <c r="C4" s="13">
        <v>80</v>
      </c>
      <c r="D4" s="13">
        <v>175</v>
      </c>
      <c r="E4" s="13" t="s">
        <v>108</v>
      </c>
    </row>
    <row r="6" spans="1:7" ht="15">
      <c r="A6" s="12" t="s">
        <v>109</v>
      </c>
      <c r="B6" s="17" t="s">
        <v>124</v>
      </c>
      <c r="C6" s="17"/>
      <c r="D6" s="17"/>
      <c r="E6" s="17"/>
    </row>
    <row r="7" spans="1:7">
      <c r="A7" s="11" t="s">
        <v>46</v>
      </c>
      <c r="B7" s="1"/>
      <c r="C7" s="1"/>
      <c r="D7" s="1"/>
      <c r="E7" s="1"/>
    </row>
    <row r="8" spans="1:7" ht="15">
      <c r="A8" s="12" t="s">
        <v>110</v>
      </c>
      <c r="B8" s="26" t="s">
        <v>123</v>
      </c>
      <c r="C8" s="27"/>
      <c r="D8" s="27"/>
      <c r="E8" s="28"/>
    </row>
    <row r="9" spans="1:7">
      <c r="A9" s="1" t="s">
        <v>9</v>
      </c>
      <c r="B9" s="1"/>
      <c r="C9" s="1"/>
      <c r="D9" s="1"/>
      <c r="E9" s="1"/>
    </row>
    <row r="10" spans="1:7" ht="15">
      <c r="A10" s="12" t="s">
        <v>116</v>
      </c>
      <c r="B10" s="26" t="s">
        <v>117</v>
      </c>
      <c r="C10" s="27"/>
      <c r="D10" s="27"/>
      <c r="E10" s="28"/>
    </row>
    <row r="13" spans="1:7" ht="15">
      <c r="A13" s="21" t="s">
        <v>125</v>
      </c>
      <c r="B13" s="22"/>
      <c r="C13" s="23"/>
    </row>
    <row r="14" spans="1:7" ht="15">
      <c r="A14" s="12" t="s">
        <v>109</v>
      </c>
      <c r="B14" s="12" t="s">
        <v>115</v>
      </c>
      <c r="C14" s="12" t="s">
        <v>116</v>
      </c>
    </row>
    <row r="15" spans="1:7">
      <c r="A15" s="1">
        <f>662-(9.53*B3)+(1.11*(15.91*C3+539.6*D3))</f>
        <v>2837.0810000000001</v>
      </c>
      <c r="B15" s="1">
        <f>581.47-(10.83*B3)+(8.3*D3)+(14.94*D4)</f>
        <v>2885.5950000000003</v>
      </c>
      <c r="C15" s="1">
        <v>2850</v>
      </c>
    </row>
  </sheetData>
  <mergeCells count="6">
    <mergeCell ref="A13:C13"/>
    <mergeCell ref="G2:G3"/>
    <mergeCell ref="A1:E1"/>
    <mergeCell ref="B6:E6"/>
    <mergeCell ref="B10:E10"/>
    <mergeCell ref="B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IOM 2006</vt:lpstr>
      <vt:lpstr>Nasem 2023</vt:lpstr>
      <vt:lpstr>Comparacion 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Parra Esparza</dc:creator>
  <cp:lastModifiedBy>portatil</cp:lastModifiedBy>
  <dcterms:created xsi:type="dcterms:W3CDTF">2025-10-06T15:22:01Z</dcterms:created>
  <dcterms:modified xsi:type="dcterms:W3CDTF">2026-02-20T19:37:03Z</dcterms:modified>
</cp:coreProperties>
</file>